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am.sharepoint.com/sites/GAPBSprogramdevelopment-FundamentalsofProgramming/Shared Documents/Fundamentals of Programming/Materials/Course Update 2024-2025/Course_Project_Sem4/"/>
    </mc:Choice>
  </mc:AlternateContent>
  <xr:revisionPtr revIDLastSave="14" documentId="13_ncr:1_{E0370C3F-DCA5-4787-9922-DE4D7DD282F2}" xr6:coauthVersionLast="47" xr6:coauthVersionMax="47" xr10:uidLastSave="{D04AAC27-2E54-EB42-BE7C-DA2F6C24DDDA}"/>
  <bookViews>
    <workbookView xWindow="4480" yWindow="600" windowWidth="29300" windowHeight="16560" xr2:uid="{00000000-000D-0000-FFFF-FFFF00000000}"/>
  </bookViews>
  <sheets>
    <sheet name="calc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D51" i="7"/>
  <c r="D23" i="7"/>
  <c r="D37" i="7"/>
  <c r="C23" i="7"/>
  <c r="D12" i="7" s="1"/>
  <c r="D11" i="7" l="1"/>
  <c r="D10" i="7" s="1"/>
</calcChain>
</file>

<file path=xl/sharedStrings.xml><?xml version="1.0" encoding="utf-8"?>
<sst xmlns="http://schemas.openxmlformats.org/spreadsheetml/2006/main" count="73" uniqueCount="56">
  <si>
    <t>Mandatory requirements</t>
  </si>
  <si>
    <t>yes/no</t>
  </si>
  <si>
    <t>Layered Architecture is used.</t>
  </si>
  <si>
    <t>yes</t>
  </si>
  <si>
    <t>There is no side framework (like Spring).</t>
  </si>
  <si>
    <t>Two mandatory roles are implemented.</t>
  </si>
  <si>
    <t xml:space="preserve">Storage is modifiable. </t>
  </si>
  <si>
    <t>There is unit testing.</t>
  </si>
  <si>
    <t>is_OK =</t>
  </si>
  <si>
    <r>
      <t xml:space="preserve">Violation of any mandatory requirement means that the project is not accepted and is assessed with </t>
    </r>
    <r>
      <rPr>
        <b/>
        <sz val="11"/>
        <color rgb="FFFF0000"/>
        <rFont val="Calibri"/>
        <family val="2"/>
        <charset val="204"/>
        <scheme val="minor"/>
      </rPr>
      <t>0 points</t>
    </r>
    <r>
      <rPr>
        <sz val="11"/>
        <color rgb="FFFF0000"/>
        <rFont val="Calibri"/>
        <family val="2"/>
        <charset val="204"/>
        <scheme val="minor"/>
      </rPr>
      <t>.</t>
    </r>
  </si>
  <si>
    <t>Score for the final project =</t>
  </si>
  <si>
    <t>is_OK != "yes" ? 0 : (result &gt; max_score ? max_score : result)</t>
  </si>
  <si>
    <t>result =</t>
  </si>
  <si>
    <t>sum(Base score) - sum(Penalties) + sum(Bonuses)</t>
  </si>
  <si>
    <t>max score =</t>
  </si>
  <si>
    <t>Client-server communication == 0? 250: 300</t>
  </si>
  <si>
    <t>Base score</t>
  </si>
  <si>
    <t>Section</t>
  </si>
  <si>
    <t>Layer</t>
  </si>
  <si>
    <t>Max points</t>
  </si>
  <si>
    <t>Functionality</t>
  </si>
  <si>
    <t>Client-server communication</t>
  </si>
  <si>
    <t>Dao</t>
  </si>
  <si>
    <t>Controller</t>
  </si>
  <si>
    <t>View</t>
  </si>
  <si>
    <t>Other</t>
  </si>
  <si>
    <t>Testing</t>
  </si>
  <si>
    <t>Unit</t>
  </si>
  <si>
    <t>Integration</t>
  </si>
  <si>
    <t>Sum</t>
  </si>
  <si>
    <t>Penalties</t>
  </si>
  <si>
    <t>Criteria</t>
  </si>
  <si>
    <t>errors during the presentation</t>
  </si>
  <si>
    <t>no DB storage</t>
  </si>
  <si>
    <t>Object-oriented design</t>
  </si>
  <si>
    <t>copy-paste code</t>
  </si>
  <si>
    <t>ignoring exceptions</t>
  </si>
  <si>
    <t>the same source as for the main part</t>
  </si>
  <si>
    <t>no mock objects</t>
  </si>
  <si>
    <t>Documentation</t>
  </si>
  <si>
    <t>breaking naming conventions</t>
  </si>
  <si>
    <t>unreadable code</t>
  </si>
  <si>
    <t>Presentation 1-to-1 with instructor</t>
  </si>
  <si>
    <t>not held</t>
  </si>
  <si>
    <t>Bonuses</t>
  </si>
  <si>
    <t>transaction management</t>
  </si>
  <si>
    <t>connection pool</t>
  </si>
  <si>
    <t>more than one impl in some layer</t>
  </si>
  <si>
    <t>customizable main</t>
  </si>
  <si>
    <t>original features (commands)</t>
  </si>
  <si>
    <t>visitor role</t>
  </si>
  <si>
    <t>additional (original) design patterns</t>
  </si>
  <si>
    <t>input validation using OOP style</t>
  </si>
  <si>
    <t>different techniques</t>
  </si>
  <si>
    <t>logging</t>
  </si>
  <si>
    <t>redundant files in the remote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</si>
</sst>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5" zoomScale="145" zoomScaleNormal="145" workbookViewId="0">
      <selection activeCell="C37" sqref="C37"/>
    </sheetView>
  </sheetViews>
  <sheetFormatPr baseColWidth="10" defaultColWidth="8.83203125" defaultRowHeight="15" x14ac:dyDescent="0.2"/>
  <cols>
    <col min="1" max="1" width="33.83203125" customWidth="1"/>
    <col min="2" max="2" width="38.1640625" customWidth="1"/>
    <col min="3" max="3" width="13.5" customWidth="1"/>
  </cols>
  <sheetData>
    <row r="1" spans="1:4" x14ac:dyDescent="0.2">
      <c r="A1" s="2" t="s">
        <v>0</v>
      </c>
      <c r="D1" s="4" t="s">
        <v>1</v>
      </c>
    </row>
    <row r="2" spans="1:4" x14ac:dyDescent="0.2">
      <c r="A2" t="s">
        <v>2</v>
      </c>
      <c r="D2" s="6" t="s">
        <v>3</v>
      </c>
    </row>
    <row r="3" spans="1:4" x14ac:dyDescent="0.2">
      <c r="A3" t="s">
        <v>4</v>
      </c>
      <c r="D3" s="6" t="s">
        <v>3</v>
      </c>
    </row>
    <row r="4" spans="1:4" x14ac:dyDescent="0.2">
      <c r="A4" t="s">
        <v>5</v>
      </c>
      <c r="D4" s="6" t="s">
        <v>3</v>
      </c>
    </row>
    <row r="5" spans="1:4" x14ac:dyDescent="0.2">
      <c r="A5" t="s">
        <v>6</v>
      </c>
      <c r="D5" s="6" t="s">
        <v>3</v>
      </c>
    </row>
    <row r="6" spans="1:4" x14ac:dyDescent="0.2">
      <c r="A6" t="s">
        <v>7</v>
      </c>
      <c r="D6" s="6" t="s">
        <v>3</v>
      </c>
    </row>
    <row r="7" spans="1:4" x14ac:dyDescent="0.2">
      <c r="C7" t="s">
        <v>8</v>
      </c>
      <c r="D7" s="5" t="str">
        <f>IF(COUNTIF(D2:D6,"=yes")=5,"yes","no")</f>
        <v>yes</v>
      </c>
    </row>
    <row r="8" spans="1:4" x14ac:dyDescent="0.2">
      <c r="A8" s="1" t="s">
        <v>9</v>
      </c>
    </row>
    <row r="10" spans="1:4" x14ac:dyDescent="0.2">
      <c r="A10" s="2" t="s">
        <v>10</v>
      </c>
      <c r="B10" t="s">
        <v>11</v>
      </c>
      <c r="D10" s="7">
        <f>IF(D7&lt;&gt;"yes",0,IF(D11&lt;0,0,IF(D11&gt;=100,100,D11)))</f>
        <v>0</v>
      </c>
    </row>
    <row r="11" spans="1:4" x14ac:dyDescent="0.2">
      <c r="A11" t="s">
        <v>12</v>
      </c>
      <c r="B11" t="s">
        <v>13</v>
      </c>
      <c r="D11" s="3">
        <f>D23-D37+D51</f>
        <v>0</v>
      </c>
    </row>
    <row r="12" spans="1:4" x14ac:dyDescent="0.2">
      <c r="A12" t="s">
        <v>14</v>
      </c>
      <c r="B12" t="s">
        <v>15</v>
      </c>
      <c r="D12" s="3">
        <f>C23-IF(D16=0,C16,0)</f>
        <v>250</v>
      </c>
    </row>
    <row r="14" spans="1:4" x14ac:dyDescent="0.2">
      <c r="A14" s="2" t="s">
        <v>16</v>
      </c>
    </row>
    <row r="15" spans="1:4" x14ac:dyDescent="0.2">
      <c r="A15" s="2" t="s">
        <v>17</v>
      </c>
      <c r="B15" s="2" t="s">
        <v>18</v>
      </c>
      <c r="C15" s="2" t="s">
        <v>19</v>
      </c>
    </row>
    <row r="16" spans="1:4" x14ac:dyDescent="0.2">
      <c r="A16" t="s">
        <v>20</v>
      </c>
      <c r="B16" t="s">
        <v>21</v>
      </c>
      <c r="C16" s="3">
        <v>50</v>
      </c>
      <c r="D16" s="8">
        <v>0</v>
      </c>
    </row>
    <row r="17" spans="1:4" x14ac:dyDescent="0.2">
      <c r="B17" t="s">
        <v>22</v>
      </c>
      <c r="C17" s="3">
        <v>40</v>
      </c>
      <c r="D17" s="6">
        <v>0</v>
      </c>
    </row>
    <row r="18" spans="1:4" x14ac:dyDescent="0.2">
      <c r="B18" t="s">
        <v>23</v>
      </c>
      <c r="C18" s="3">
        <v>40</v>
      </c>
      <c r="D18" s="6">
        <v>0</v>
      </c>
    </row>
    <row r="19" spans="1:4" x14ac:dyDescent="0.2">
      <c r="B19" t="s">
        <v>24</v>
      </c>
      <c r="C19" s="3">
        <v>50</v>
      </c>
      <c r="D19" s="6">
        <v>0</v>
      </c>
    </row>
    <row r="20" spans="1:4" x14ac:dyDescent="0.2">
      <c r="B20" t="s">
        <v>25</v>
      </c>
      <c r="C20" s="3">
        <v>60</v>
      </c>
      <c r="D20" s="6">
        <v>0</v>
      </c>
    </row>
    <row r="21" spans="1:4" x14ac:dyDescent="0.2">
      <c r="A21" t="s">
        <v>26</v>
      </c>
      <c r="B21" t="s">
        <v>27</v>
      </c>
      <c r="C21" s="3">
        <v>30</v>
      </c>
      <c r="D21" s="6">
        <v>0</v>
      </c>
    </row>
    <row r="22" spans="1:4" x14ac:dyDescent="0.2">
      <c r="B22" t="s">
        <v>28</v>
      </c>
      <c r="C22" s="3">
        <v>30</v>
      </c>
      <c r="D22" s="6">
        <v>0</v>
      </c>
    </row>
    <row r="23" spans="1:4" x14ac:dyDescent="0.2">
      <c r="A23" s="2" t="s">
        <v>29</v>
      </c>
      <c r="C23" s="5">
        <f>SUM(C16:C22)</f>
        <v>300</v>
      </c>
      <c r="D23" s="5">
        <f>SUM(D16:D22)</f>
        <v>0</v>
      </c>
    </row>
    <row r="24" spans="1:4" x14ac:dyDescent="0.2">
      <c r="C24" s="3"/>
      <c r="D24" s="3"/>
    </row>
    <row r="25" spans="1:4" x14ac:dyDescent="0.2">
      <c r="A25" s="2" t="s">
        <v>30</v>
      </c>
      <c r="C25" s="3"/>
      <c r="D25" s="3"/>
    </row>
    <row r="26" spans="1:4" x14ac:dyDescent="0.2">
      <c r="A26" s="2" t="s">
        <v>17</v>
      </c>
      <c r="B26" s="2" t="s">
        <v>31</v>
      </c>
      <c r="C26" s="5" t="s">
        <v>19</v>
      </c>
      <c r="D26" s="3"/>
    </row>
    <row r="27" spans="1:4" x14ac:dyDescent="0.2">
      <c r="A27" t="s">
        <v>20</v>
      </c>
      <c r="B27" t="s">
        <v>32</v>
      </c>
      <c r="C27" s="3">
        <v>30</v>
      </c>
      <c r="D27" s="6">
        <v>0</v>
      </c>
    </row>
    <row r="28" spans="1:4" x14ac:dyDescent="0.2">
      <c r="B28" t="s">
        <v>33</v>
      </c>
      <c r="C28" s="3">
        <v>50</v>
      </c>
      <c r="D28" s="6">
        <v>0</v>
      </c>
    </row>
    <row r="29" spans="1:4" x14ac:dyDescent="0.2">
      <c r="A29" t="s">
        <v>34</v>
      </c>
      <c r="B29" t="s">
        <v>35</v>
      </c>
      <c r="C29" s="3">
        <v>20</v>
      </c>
      <c r="D29" s="6">
        <v>0</v>
      </c>
    </row>
    <row r="30" spans="1:4" x14ac:dyDescent="0.2">
      <c r="B30" t="s">
        <v>36</v>
      </c>
      <c r="C30" s="3">
        <v>20</v>
      </c>
      <c r="D30" s="6">
        <v>0</v>
      </c>
    </row>
    <row r="31" spans="1:4" x14ac:dyDescent="0.2">
      <c r="A31" t="s">
        <v>26</v>
      </c>
      <c r="B31" t="s">
        <v>37</v>
      </c>
      <c r="C31" s="3">
        <v>20</v>
      </c>
      <c r="D31" s="6">
        <v>0</v>
      </c>
    </row>
    <row r="32" spans="1:4" x14ac:dyDescent="0.2">
      <c r="B32" t="s">
        <v>38</v>
      </c>
      <c r="C32" s="3">
        <v>10</v>
      </c>
      <c r="D32" s="6">
        <v>0</v>
      </c>
    </row>
    <row r="33" spans="1:4" x14ac:dyDescent="0.2">
      <c r="A33" t="s">
        <v>39</v>
      </c>
      <c r="B33" t="s">
        <v>40</v>
      </c>
      <c r="C33" s="3">
        <v>10</v>
      </c>
      <c r="D33" s="6">
        <v>0</v>
      </c>
    </row>
    <row r="34" spans="1:4" x14ac:dyDescent="0.2">
      <c r="B34" t="s">
        <v>41</v>
      </c>
      <c r="C34" s="3">
        <v>10</v>
      </c>
      <c r="D34" s="6">
        <v>0</v>
      </c>
    </row>
    <row r="35" spans="1:4" x14ac:dyDescent="0.2">
      <c r="B35" s="9" t="s">
        <v>55</v>
      </c>
      <c r="C35" s="3">
        <v>20</v>
      </c>
      <c r="D35" s="6">
        <v>0</v>
      </c>
    </row>
    <row r="36" spans="1:4" x14ac:dyDescent="0.2">
      <c r="A36" t="s">
        <v>42</v>
      </c>
      <c r="B36" t="s">
        <v>43</v>
      </c>
      <c r="C36" s="3">
        <v>100</v>
      </c>
      <c r="D36" s="6">
        <v>0</v>
      </c>
    </row>
    <row r="37" spans="1:4" x14ac:dyDescent="0.2">
      <c r="A37" s="2" t="s">
        <v>29</v>
      </c>
      <c r="C37" s="3"/>
      <c r="D37" s="5">
        <f>SUM(D27:D36)</f>
        <v>0</v>
      </c>
    </row>
    <row r="38" spans="1:4" x14ac:dyDescent="0.2">
      <c r="C38" s="3"/>
      <c r="D38" s="3"/>
    </row>
    <row r="39" spans="1:4" x14ac:dyDescent="0.2">
      <c r="A39" s="2" t="s">
        <v>44</v>
      </c>
      <c r="C39" s="3"/>
      <c r="D39" s="3"/>
    </row>
    <row r="40" spans="1:4" x14ac:dyDescent="0.2">
      <c r="A40" s="2" t="s">
        <v>17</v>
      </c>
      <c r="B40" s="2" t="s">
        <v>31</v>
      </c>
      <c r="C40" s="5" t="s">
        <v>19</v>
      </c>
      <c r="D40" s="3"/>
    </row>
    <row r="41" spans="1:4" x14ac:dyDescent="0.2">
      <c r="A41" t="s">
        <v>20</v>
      </c>
      <c r="B41" t="s">
        <v>45</v>
      </c>
      <c r="C41" s="3">
        <v>10</v>
      </c>
      <c r="D41" s="6">
        <v>0</v>
      </c>
    </row>
    <row r="42" spans="1:4" x14ac:dyDescent="0.2">
      <c r="B42" t="s">
        <v>46</v>
      </c>
      <c r="C42" s="3">
        <v>10</v>
      </c>
      <c r="D42" s="6">
        <v>0</v>
      </c>
    </row>
    <row r="43" spans="1:4" x14ac:dyDescent="0.2">
      <c r="B43" t="s">
        <v>47</v>
      </c>
      <c r="C43" s="3">
        <v>10</v>
      </c>
      <c r="D43" s="6">
        <v>0</v>
      </c>
    </row>
    <row r="44" spans="1:4" x14ac:dyDescent="0.2">
      <c r="B44" t="s">
        <v>48</v>
      </c>
      <c r="C44" s="3">
        <v>10</v>
      </c>
      <c r="D44" s="6">
        <v>0</v>
      </c>
    </row>
    <row r="45" spans="1:4" x14ac:dyDescent="0.2">
      <c r="B45" t="s">
        <v>49</v>
      </c>
      <c r="C45" s="3">
        <v>10</v>
      </c>
      <c r="D45" s="6">
        <v>0</v>
      </c>
    </row>
    <row r="46" spans="1:4" x14ac:dyDescent="0.2">
      <c r="B46" t="s">
        <v>50</v>
      </c>
      <c r="C46" s="3">
        <v>20</v>
      </c>
      <c r="D46" s="6">
        <v>0</v>
      </c>
    </row>
    <row r="47" spans="1:4" x14ac:dyDescent="0.2">
      <c r="A47" t="s">
        <v>34</v>
      </c>
      <c r="B47" t="s">
        <v>51</v>
      </c>
      <c r="C47" s="3">
        <v>10</v>
      </c>
      <c r="D47" s="6">
        <v>0</v>
      </c>
    </row>
    <row r="48" spans="1:4" x14ac:dyDescent="0.2">
      <c r="B48" t="s">
        <v>52</v>
      </c>
      <c r="C48" s="3">
        <v>20</v>
      </c>
      <c r="D48" s="6">
        <v>0</v>
      </c>
    </row>
    <row r="49" spans="1:4" x14ac:dyDescent="0.2">
      <c r="A49" t="s">
        <v>26</v>
      </c>
      <c r="B49" t="s">
        <v>53</v>
      </c>
      <c r="C49" s="3">
        <v>10</v>
      </c>
      <c r="D49" s="6">
        <v>0</v>
      </c>
    </row>
    <row r="50" spans="1:4" x14ac:dyDescent="0.2">
      <c r="A50" t="s">
        <v>39</v>
      </c>
      <c r="B50" t="s">
        <v>54</v>
      </c>
      <c r="C50" s="3">
        <v>20</v>
      </c>
      <c r="D50" s="6">
        <v>0</v>
      </c>
    </row>
    <row r="51" spans="1:4" x14ac:dyDescent="0.2">
      <c r="A51" s="2" t="s">
        <v>29</v>
      </c>
      <c r="C51" s="3"/>
      <c r="D51" s="5">
        <f>SUM(D41:D50)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Olga Smolyakova</dc:creator>
  <cp:keywords/>
  <dc:description/>
  <cp:lastModifiedBy>Anastasiya Savich</cp:lastModifiedBy>
  <cp:revision/>
  <dcterms:created xsi:type="dcterms:W3CDTF">2023-08-22T08:40:11Z</dcterms:created>
  <dcterms:modified xsi:type="dcterms:W3CDTF">2026-01-14T09:18:51Z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0x01010085EBC5660CB95F4A8860D8EF2D54D906</vt:lpwstr>
  </property>
  <property fmtid="{D5CDD505-2E9C-101B-9397-08002B2CF9AE}" pid="3" name="MediaServiceImageTags">
    <vt:lpwstr/>
  </property>
</Properties>
</file>